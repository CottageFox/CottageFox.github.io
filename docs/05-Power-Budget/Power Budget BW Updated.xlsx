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okem\OneDrive\Documents\"/>
    </mc:Choice>
  </mc:AlternateContent>
  <xr:revisionPtr revIDLastSave="0" documentId="13_ncr:1_{225B8509-BD12-4ED4-855C-93CE1CBBF2BC}" xr6:coauthVersionLast="47" xr6:coauthVersionMax="47" xr10:uidLastSave="{00000000-0000-0000-0000-000000000000}"/>
  <bookViews>
    <workbookView xWindow="-120" yWindow="-120" windowWidth="29040" windowHeight="1572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 r="G24" i="1"/>
  <c r="G9" i="1"/>
  <c r="G10" i="1"/>
  <c r="G11" i="1"/>
  <c r="G72" i="1"/>
  <c r="G57" i="1"/>
  <c r="G42" i="1"/>
  <c r="G30" i="1"/>
  <c r="G25" i="1"/>
  <c r="G26" i="1" s="1"/>
  <c r="G34" i="1" l="1"/>
  <c r="G36" i="1" s="1"/>
  <c r="G39" i="1" s="1"/>
  <c r="G16" i="1"/>
  <c r="G18" i="1" s="1"/>
  <c r="G21" i="1" s="1"/>
  <c r="G59" i="1"/>
  <c r="G43" i="1"/>
  <c r="G45" i="1" s="1"/>
  <c r="G48" i="1" s="1"/>
  <c r="G28" i="1"/>
  <c r="G31" i="1" s="1"/>
  <c r="G6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<sst xmlns="http://schemas.openxmlformats.org/spreadsheetml/2006/main" count="234" uniqueCount="78">
  <si>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</si>
  <si>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</si>
  <si>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</si>
  <si>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</si>
  <si>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</si>
  <si>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</si>
  <si>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</si>
  <si>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</si>
  <si>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</si>
  <si>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</si>
  <si>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</si>
  <si>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</si>
  <si>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</si>
  <si>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</si>
  <si>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</si>
  <si>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</si>
  <si>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</si>
  <si>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</si>
  <si>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</si>
  <si>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 xml:space="preserve"> +12V regulator</t>
  </si>
  <si>
    <t>Total Remaining Current Available on +12V Rail</t>
  </si>
  <si>
    <t xml:space="preserve"> +5V Power Rail</t>
  </si>
  <si>
    <t>Total Current Required on +5V Rail</t>
  </si>
  <si>
    <t>c2. Regulator or Source Choice</t>
  </si>
  <si>
    <t xml:space="preserve"> +5V Regulator</t>
  </si>
  <si>
    <t>Total Remaining Current Available on +5V Rail</t>
  </si>
  <si>
    <t>-5V Power Rail</t>
  </si>
  <si>
    <t>Total Current Required on -5V Rail</t>
  </si>
  <si>
    <t>c3. Regulator or Source Choice</t>
  </si>
  <si>
    <t xml:space="preserve"> -5V Regulator</t>
  </si>
  <si>
    <t>Total Remaining Current Available on -5V Rail</t>
  </si>
  <si>
    <t xml:space="preserve"> +3.3V Power Rail</t>
  </si>
  <si>
    <t>Total Current Required on +3.3V Rail</t>
  </si>
  <si>
    <t>c4. Regulator or Source Choice</t>
  </si>
  <si>
    <t xml:space="preserve"> +3.3V low-dropout regulator</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</si>
  <si>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</si>
  <si>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</si>
  <si>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</si>
  <si>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</si>
  <si>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</si>
  <si>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</si>
  <si>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</si>
  <si>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</si>
  <si>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</si>
  <si>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External Power Source 2</t>
  </si>
  <si>
    <t>Power Source 2 Selection</t>
  </si>
  <si>
    <t>Battery</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</si>
  <si>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</si>
  <si>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</si>
  <si>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</si>
  <si>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</si>
  <si>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</si>
  <si>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</si>
  <si>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</si>
  <si>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</si>
  <si>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</si>
  <si>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</si>
  <si>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Bryce, Mathew, Andrew, Dylan</t>
  </si>
  <si>
    <t>Smart Door Sensor</t>
  </si>
  <si>
    <t>Team 209</t>
  </si>
  <si>
    <t>Op-Amp</t>
  </si>
  <si>
    <t>+1.8V - 6V</t>
  </si>
  <si>
    <t>+5V - 18V</t>
  </si>
  <si>
    <t>N/A</t>
  </si>
  <si>
    <t>MCP6004-I/P</t>
  </si>
  <si>
    <t>Power Budget</t>
  </si>
  <si>
    <t>264VAC</t>
  </si>
  <si>
    <t>L6R36-090</t>
  </si>
  <si>
    <t>+9V - 36V</t>
  </si>
  <si>
    <t>Qty.</t>
  </si>
  <si>
    <t>PIC18F57Q43 Curiosity Nano</t>
  </si>
  <si>
    <t>DM164150</t>
  </si>
  <si>
    <t>+1.8V - 5.1V</t>
  </si>
  <si>
    <t>01</t>
  </si>
  <si>
    <t>L7805CV</t>
  </si>
  <si>
    <t>IR Emitter Detector</t>
  </si>
  <si>
    <t>OPB732</t>
  </si>
  <si>
    <t>+5v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</si>
</sst>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rgb="FF000000"/>
      <name val="Calibri"/>
    </font>
    <font>
      <sz val="12"/>
      <name val="Calibri"/>
      <family val="2"/>
    </font>
    <font>
      <b/>
      <sz val="12"/>
      <color rgb="FF000000"/>
      <name val="Calibri"/>
      <family val="2"/>
    </font>
    <font>
      <sz val="12"/>
      <color rgb="FF000000"/>
      <name val="Calibri"/>
      <family val="2"/>
    </font>
    <font>
      <b/>
      <sz val="24"/>
      <color rgb="FF000000"/>
      <name val="Calibri"/>
      <family val="2"/>
    </font>
    <font>
      <b/>
      <i/>
      <sz val="12"/>
      <color rgb="FF000000"/>
      <name val="Calibri"/>
      <family val="2"/>
    </font>
  </fonts>
  <fills count="6">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
      <patternFill patternType="solid">
        <fgColor rgb="FFEB96F4"/>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67">
    <xf numFmtId="0" fontId="0" fillId="0" borderId="0" xfId="0"/>
    <xf numFmtId="0" fontId="1" fillId="0" borderId="1" xfId="0" applyFont="1" applyBorder="1"/>
    <xf numFmtId="0" fontId="2" fillId="0" borderId="1" xfId="0" applyFont="1" applyBorder="1"/>
    <xf numFmtId="0" fontId="3" fillId="0" borderId="0" xfId="0" applyFont="1"/>
    <xf numFmtId="0" fontId="2" fillId="0" borderId="0" xfId="0" applyFont="1"/>
    <xf numFmtId="0" fontId="2" fillId="0" borderId="0" xfId="0" applyFont="1" applyAlignment="1">
      <alignment horizontal="center"/>
    </xf>
    <xf numFmtId="0" fontId="2" fillId="3" borderId="2"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3" borderId="7" xfId="0" applyFont="1" applyFill="1" applyBorder="1" applyAlignment="1">
      <alignment horizontal="center"/>
    </xf>
    <xf numFmtId="0" fontId="3" fillId="0" borderId="8" xfId="0" applyFont="1" applyBorder="1"/>
    <xf numFmtId="0" fontId="3" fillId="0" borderId="0" xfId="0" quotePrefix="1" applyFont="1" applyAlignment="1">
      <alignment horizontal="center"/>
    </xf>
    <xf numFmtId="0" fontId="3" fillId="0" borderId="0" xfId="0" applyFont="1" applyAlignment="1">
      <alignment horizontal="center"/>
    </xf>
    <xf numFmtId="0" fontId="3" fillId="0" borderId="9" xfId="0" applyFont="1" applyBorder="1"/>
    <xf numFmtId="0" fontId="2" fillId="0" borderId="9" xfId="0" applyFont="1" applyBorder="1"/>
    <xf numFmtId="0" fontId="5" fillId="3" borderId="10" xfId="0" applyFont="1" applyFill="1" applyBorder="1"/>
    <xf numFmtId="0" fontId="5" fillId="0" borderId="0" xfId="0" applyFont="1" applyAlignment="1">
      <alignment horizontal="right"/>
    </xf>
    <xf numFmtId="9" fontId="3" fillId="0" borderId="9" xfId="0" applyNumberFormat="1" applyFont="1" applyBorder="1"/>
    <xf numFmtId="0" fontId="5" fillId="0" borderId="8" xfId="0" applyFont="1" applyBorder="1"/>
    <xf numFmtId="0" fontId="5" fillId="0" borderId="8" xfId="0" applyFont="1" applyBorder="1" applyAlignment="1">
      <alignment horizontal="left"/>
    </xf>
    <xf numFmtId="0" fontId="3" fillId="0" borderId="0" xfId="0" applyFont="1" applyAlignment="1">
      <alignment horizontal="left"/>
    </xf>
    <xf numFmtId="0" fontId="3" fillId="0" borderId="0" xfId="0" applyFont="1" applyAlignment="1">
      <alignment horizontal="right"/>
    </xf>
    <xf numFmtId="0" fontId="3" fillId="0" borderId="9" xfId="0" applyFont="1" applyBorder="1" applyAlignment="1">
      <alignment horizontal="right"/>
    </xf>
    <xf numFmtId="0" fontId="5" fillId="0" borderId="11" xfId="0" applyFont="1" applyBorder="1" applyAlignment="1">
      <alignment horizontal="left"/>
    </xf>
    <xf numFmtId="0" fontId="2"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9" xfId="0" applyFont="1" applyBorder="1"/>
    <xf numFmtId="0" fontId="2" fillId="3" borderId="5" xfId="0" applyFont="1" applyFill="1" applyBorder="1" applyAlignment="1">
      <alignment horizontal="center" wrapText="1"/>
    </xf>
    <xf numFmtId="0" fontId="2" fillId="0" borderId="8" xfId="0" applyFont="1" applyBorder="1" applyAlignment="1">
      <alignment horizontal="left"/>
    </xf>
    <xf numFmtId="0" fontId="3" fillId="0" borderId="14" xfId="0" applyFont="1" applyBorder="1" applyAlignment="1">
      <alignment horizontal="left"/>
    </xf>
    <xf numFmtId="0" fontId="2" fillId="0" borderId="8" xfId="0" applyFont="1" applyBorder="1" applyAlignment="1">
      <alignment horizontal="center"/>
    </xf>
    <xf numFmtId="0" fontId="3" fillId="0" borderId="14" xfId="0" applyFont="1" applyBorder="1"/>
    <xf numFmtId="0" fontId="2" fillId="0" borderId="9" xfId="0" applyFont="1" applyBorder="1" applyAlignment="1">
      <alignment horizontal="center"/>
    </xf>
    <xf numFmtId="0" fontId="2" fillId="0" borderId="14" xfId="0" applyFont="1" applyBorder="1" applyAlignment="1">
      <alignment horizontal="center"/>
    </xf>
    <xf numFmtId="0" fontId="1" fillId="0" borderId="0" xfId="0" applyFont="1"/>
    <xf numFmtId="0" fontId="3" fillId="0" borderId="9" xfId="0" applyFont="1" applyBorder="1" applyAlignment="1">
      <alignment horizontal="center"/>
    </xf>
    <xf numFmtId="0" fontId="5" fillId="2" borderId="1" xfId="0" applyFont="1" applyFill="1" applyBorder="1"/>
    <xf numFmtId="0" fontId="2" fillId="3" borderId="8" xfId="0" applyFont="1" applyFill="1" applyBorder="1"/>
    <xf numFmtId="0" fontId="2" fillId="3" borderId="16" xfId="0" applyFont="1" applyFill="1" applyBorder="1"/>
    <xf numFmtId="0" fontId="2" fillId="3" borderId="17" xfId="0" applyFont="1" applyFill="1" applyBorder="1" applyAlignment="1">
      <alignment horizontal="center"/>
    </xf>
    <xf numFmtId="0" fontId="2" fillId="3" borderId="18" xfId="0" applyFont="1" applyFill="1" applyBorder="1" applyAlignment="1">
      <alignment horizontal="center"/>
    </xf>
    <xf numFmtId="0" fontId="2" fillId="3" borderId="9" xfId="0" applyFont="1" applyFill="1" applyBorder="1" applyAlignment="1">
      <alignment horizontal="center"/>
    </xf>
    <xf numFmtId="0" fontId="2" fillId="3" borderId="9" xfId="0" applyFont="1" applyFill="1" applyBorder="1"/>
    <xf numFmtId="0" fontId="3" fillId="2" borderId="0" xfId="0" applyFont="1" applyFill="1"/>
    <xf numFmtId="0" fontId="2" fillId="0" borderId="1" xfId="0" quotePrefix="1" applyFont="1" applyBorder="1"/>
    <xf numFmtId="0" fontId="0" fillId="0" borderId="0" xfId="0" quotePrefix="1" applyAlignment="1">
      <alignment horizontal="center"/>
    </xf>
    <xf numFmtId="0" fontId="0" fillId="0" borderId="0" xfId="0" applyAlignment="1">
      <alignment horizontal="center"/>
    </xf>
    <xf numFmtId="0" fontId="0" fillId="0" borderId="0" xfId="0" applyAlignment="1">
      <alignment horizontal="right"/>
    </xf>
    <xf numFmtId="0" fontId="4" fillId="5" borderId="0" xfId="0" applyFont="1" applyFill="1" applyAlignment="1">
      <alignment horizontal="center"/>
    </xf>
    <xf numFmtId="0" fontId="3" fillId="5" borderId="0" xfId="0" applyFont="1" applyFill="1"/>
    <xf numFmtId="0" fontId="5" fillId="2" borderId="2" xfId="0" applyFont="1" applyFill="1" applyBorder="1" applyAlignment="1">
      <alignment wrapText="1"/>
    </xf>
    <xf numFmtId="0" fontId="1" fillId="0" borderId="3" xfId="0" applyFont="1" applyBorder="1"/>
    <xf numFmtId="0" fontId="1" fillId="0" borderId="4" xfId="0" applyFont="1" applyBorder="1"/>
    <xf numFmtId="0" fontId="5" fillId="0" borderId="0" xfId="0" applyFont="1" applyAlignment="1">
      <alignment horizontal="right"/>
    </xf>
    <xf numFmtId="0" fontId="3" fillId="0" borderId="0" xfId="0" applyFont="1"/>
    <xf numFmtId="49" fontId="5" fillId="0" borderId="12" xfId="0" applyNumberFormat="1" applyFont="1" applyBorder="1" applyAlignment="1">
      <alignment horizontal="right"/>
    </xf>
    <xf numFmtId="0" fontId="1"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1" fillId="0" borderId="13" xfId="0" applyFont="1" applyBorder="1"/>
    <xf numFmtId="0" fontId="3" fillId="0" borderId="0" xfId="0" applyFont="1" applyAlignment="1">
      <alignment wrapText="1"/>
    </xf>
    <xf numFmtId="0" fontId="3" fillId="4" borderId="0" xfId="0" applyFont="1" applyFill="1" applyAlignment="1">
      <alignment horizontal="left" wrapText="1"/>
    </xf>
    <xf numFmtId="0" fontId="2" fillId="0" borderId="8" xfId="0" applyFont="1" applyBorder="1" applyAlignment="1">
      <alignment horizontal="left" vertical="center" wrapText="1"/>
    </xf>
    <xf numFmtId="0" fontId="1" fillId="0" borderId="8" xfId="0" applyFont="1" applyBorder="1"/>
    <xf numFmtId="0" fontId="1" fillId="0" borderId="15" xfId="0" applyFont="1" applyBorder="1"/>
    <xf numFmtId="0" fontId="5" fillId="2" borderId="0" xfId="0" applyFont="1" applyFill="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colors>
    <mruColors>
      <color rgb="FFEB96F4"/>
      <color rgb="FFCC66FF"/>
      <color rgb="FFCC99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77"/>
  <sheetViews>
    <sheetView tabSelected="1" workbookViewId="0">
      <selection activeCell="I31" sqref="I31"/>
    </sheetView>
  </sheetViews>
  <sheetFormatPr defaultColWidth="13.5" defaultRowHeight="15.75" customHeight="1" x14ac:dyDescent="0.25"/>
  <cols>
    <col min="1" max="1" width="22.25" customWidth="1"/>
    <col min="2" max="2" width="27.375" customWidth="1"/>
    <col min="3" max="3" width="18.875" customWidth="1"/>
    <col min="4" max="4" width="28.5" customWidth="1"/>
    <col min="5" max="5" width="10.625" customWidth="1"/>
    <col min="6" max="6" width="36.875" customWidth="1"/>
    <col min="7" max="7" width="23.5" customWidth="1"/>
    <col min="8" max="8" width="9" customWidth="1"/>
  </cols>
  <sheetData>
    <row r="1" spans="1:8" ht="30" customHeight="1" x14ac:dyDescent="0.5">
      <c r="A1" s="49" t="s">
        <v>65</v>
      </c>
      <c r="B1" s="50"/>
      <c r="C1" s="50"/>
      <c r="D1" s="50"/>
      <c r="E1" s="50"/>
      <c r="F1" s="50"/>
      <c r="G1" s="50"/>
      <c r="H1" s="50"/>
    </row>
    <row r="2" spans="1:8" ht="15" customHeight="1" x14ac:dyDescent="0.25">
      <c r="A2" s="2" t="s">
        <v>0</v>
      </c>
      <c r="B2" s="1" t="s">
        <v>59</v>
      </c>
      <c r="C2" s="3"/>
      <c r="D2" s="5"/>
      <c r="E2" s="5"/>
      <c r="F2" s="3"/>
      <c r="G2" s="3"/>
      <c r="H2" s="3"/>
    </row>
    <row r="3" spans="1:8" ht="15" customHeight="1" x14ac:dyDescent="0.25">
      <c r="A3" s="2" t="s">
        <v>1</v>
      </c>
      <c r="B3" s="2" t="s">
        <v>58</v>
      </c>
      <c r="C3" s="4"/>
      <c r="D3" s="5"/>
      <c r="E3" s="5"/>
      <c r="F3" s="4"/>
      <c r="G3" s="4"/>
      <c r="H3" s="4"/>
    </row>
    <row r="4" spans="1:8" ht="15" customHeight="1" x14ac:dyDescent="0.25">
      <c r="A4" s="2" t="s">
        <v>2</v>
      </c>
      <c r="B4" s="2" t="s">
        <v>57</v>
      </c>
      <c r="C4" s="4"/>
      <c r="D4" s="5"/>
      <c r="E4" s="5"/>
      <c r="F4" s="4"/>
      <c r="G4" s="4"/>
      <c r="H4" s="4"/>
    </row>
    <row r="5" spans="1:8" ht="15" customHeight="1" x14ac:dyDescent="0.25">
      <c r="A5" s="2" t="s">
        <v>3</v>
      </c>
      <c r="B5" s="45" t="s">
        <v>73</v>
      </c>
      <c r="C5" s="4"/>
      <c r="D5" s="5"/>
      <c r="E5" s="5"/>
      <c r="F5" s="4"/>
      <c r="G5" s="4"/>
      <c r="H5" s="4"/>
    </row>
    <row r="6" spans="1:8" ht="15" customHeight="1" x14ac:dyDescent="0.25">
      <c r="A6" s="4"/>
      <c r="B6" s="4"/>
      <c r="C6" s="4"/>
      <c r="D6" s="5"/>
      <c r="E6" s="5"/>
      <c r="F6" s="4"/>
      <c r="G6" s="4"/>
      <c r="H6" s="4"/>
    </row>
    <row r="7" spans="1:8" ht="15" customHeight="1" x14ac:dyDescent="0.25">
      <c r="A7" s="51" t="s">
        <v>4</v>
      </c>
      <c r="B7" s="52"/>
      <c r="C7" s="52"/>
      <c r="D7" s="52"/>
      <c r="E7" s="52"/>
      <c r="F7" s="52"/>
      <c r="G7" s="52"/>
      <c r="H7" s="53"/>
    </row>
    <row r="8" spans="1:8" ht="33.75" customHeight="1" x14ac:dyDescent="0.25">
      <c r="A8" s="6" t="s">
        <v>5</v>
      </c>
      <c r="B8" s="7" t="s">
        <v>6</v>
      </c>
      <c r="C8" s="7" t="s">
        <v>7</v>
      </c>
      <c r="D8" s="7" t="s">
        <v>8</v>
      </c>
      <c r="E8" s="7" t="s">
        <v>69</v>
      </c>
      <c r="F8" s="8" t="s">
        <v>9</v>
      </c>
      <c r="G8" s="9" t="s">
        <v>10</v>
      </c>
      <c r="H8" s="9" t="s">
        <v>11</v>
      </c>
    </row>
    <row r="9" spans="1:8" ht="15" customHeight="1" x14ac:dyDescent="0.25">
      <c r="A9" s="10"/>
      <c r="B9" t="s">
        <v>70</v>
      </c>
      <c r="C9" t="s">
        <v>71</v>
      </c>
      <c r="D9" s="46" t="s">
        <v>72</v>
      </c>
      <c r="E9" s="47">
        <v>1</v>
      </c>
      <c r="F9" s="48">
        <v>100</v>
      </c>
      <c r="G9" s="13">
        <f t="shared" ref="G9:G11" si="0">E9*F9</f>
        <v>100</v>
      </c>
      <c r="H9" s="13" t="s">
        <v>12</v>
      </c>
    </row>
    <row r="10" spans="1:8" ht="15" customHeight="1" x14ac:dyDescent="0.25">
      <c r="A10" s="10"/>
      <c r="B10" s="3" t="s">
        <v>75</v>
      </c>
      <c r="C10" s="3" t="s">
        <v>76</v>
      </c>
      <c r="D10" s="11" t="s">
        <v>77</v>
      </c>
      <c r="E10" s="12">
        <v>1</v>
      </c>
      <c r="F10" s="3">
        <v>100</v>
      </c>
      <c r="G10" s="13">
        <f t="shared" si="0"/>
        <v>100</v>
      </c>
      <c r="H10" s="13" t="s">
        <v>12</v>
      </c>
    </row>
    <row r="11" spans="1:8" ht="15" customHeight="1" x14ac:dyDescent="0.25">
      <c r="A11" s="10"/>
      <c r="B11" s="3" t="s">
        <v>60</v>
      </c>
      <c r="C11" s="3" t="s">
        <v>64</v>
      </c>
      <c r="D11" s="11" t="s">
        <v>61</v>
      </c>
      <c r="E11" s="12">
        <v>1</v>
      </c>
      <c r="F11" s="3">
        <v>0.1</v>
      </c>
      <c r="G11" s="13">
        <f t="shared" si="0"/>
        <v>0.1</v>
      </c>
      <c r="H11" s="13" t="s">
        <v>12</v>
      </c>
    </row>
    <row r="12" spans="1:8" ht="15" customHeight="1" x14ac:dyDescent="0.25">
      <c r="A12" s="10"/>
      <c r="B12" s="3"/>
      <c r="C12" s="3"/>
      <c r="D12" s="12"/>
      <c r="E12" s="12"/>
      <c r="F12" s="3"/>
      <c r="G12" s="13"/>
      <c r="H12" s="13"/>
    </row>
    <row r="13" spans="1:8" ht="15" customHeight="1" x14ac:dyDescent="0.25">
      <c r="A13" s="51" t="s">
        <v>13</v>
      </c>
      <c r="B13" s="52"/>
      <c r="C13" s="52"/>
      <c r="D13" s="52"/>
      <c r="E13" s="52"/>
      <c r="F13" s="52"/>
      <c r="G13" s="52"/>
      <c r="H13" s="53"/>
    </row>
    <row r="14" spans="1:8" ht="29.25" customHeight="1" x14ac:dyDescent="0.25">
      <c r="A14" s="15" t="s">
        <v>14</v>
      </c>
      <c r="B14" s="7" t="s">
        <v>6</v>
      </c>
      <c r="C14" s="7" t="s">
        <v>7</v>
      </c>
      <c r="D14" s="7" t="s">
        <v>8</v>
      </c>
      <c r="E14" s="7" t="s">
        <v>69</v>
      </c>
      <c r="F14" s="8" t="s">
        <v>9</v>
      </c>
      <c r="G14" s="9" t="s">
        <v>10</v>
      </c>
      <c r="H14" s="9" t="s">
        <v>11</v>
      </c>
    </row>
    <row r="15" spans="1:8" ht="15" customHeight="1" x14ac:dyDescent="0.25">
      <c r="A15" s="10"/>
      <c r="B15" s="20" t="s">
        <v>63</v>
      </c>
      <c r="C15" s="20" t="s">
        <v>63</v>
      </c>
      <c r="D15" s="20" t="s">
        <v>63</v>
      </c>
      <c r="E15" s="20" t="s">
        <v>63</v>
      </c>
      <c r="F15" s="20" t="s">
        <v>63</v>
      </c>
      <c r="G15" s="20" t="s">
        <v>63</v>
      </c>
      <c r="H15" s="13" t="s">
        <v>12</v>
      </c>
    </row>
    <row r="16" spans="1:8" ht="15" customHeight="1" x14ac:dyDescent="0.25">
      <c r="A16" s="10"/>
      <c r="B16" s="54" t="s">
        <v>15</v>
      </c>
      <c r="C16" s="55"/>
      <c r="D16" s="55"/>
      <c r="E16" s="55"/>
      <c r="F16" s="55"/>
      <c r="G16" s="13">
        <f>SUM(G15:G15)</f>
        <v>0</v>
      </c>
      <c r="H16" s="13" t="s">
        <v>12</v>
      </c>
    </row>
    <row r="17" spans="1:8" ht="15" customHeight="1" x14ac:dyDescent="0.25">
      <c r="A17" s="10"/>
      <c r="B17" s="54" t="s">
        <v>16</v>
      </c>
      <c r="C17" s="55"/>
      <c r="D17" s="55"/>
      <c r="E17" s="55"/>
      <c r="F17" s="55"/>
      <c r="G17" s="17">
        <v>0.25</v>
      </c>
      <c r="H17" s="17"/>
    </row>
    <row r="18" spans="1:8" ht="15" customHeight="1" x14ac:dyDescent="0.25">
      <c r="A18" s="18"/>
      <c r="B18" s="54" t="s">
        <v>17</v>
      </c>
      <c r="C18" s="55"/>
      <c r="D18" s="55"/>
      <c r="E18" s="55"/>
      <c r="F18" s="55"/>
      <c r="G18" s="13">
        <f>G16*(1+G17)</f>
        <v>0</v>
      </c>
      <c r="H18" s="13" t="s">
        <v>12</v>
      </c>
    </row>
    <row r="19" spans="1:8" ht="15" customHeight="1" x14ac:dyDescent="0.25">
      <c r="A19" s="19"/>
      <c r="B19" s="20"/>
      <c r="C19" s="20"/>
      <c r="D19" s="12"/>
      <c r="E19" s="12"/>
      <c r="F19" s="21"/>
      <c r="G19" s="22"/>
      <c r="H19" s="13"/>
    </row>
    <row r="20" spans="1:8" ht="15" customHeight="1" x14ac:dyDescent="0.25">
      <c r="A20" s="19" t="s">
        <v>18</v>
      </c>
      <c r="B20" s="20" t="s">
        <v>19</v>
      </c>
      <c r="C20" s="20" t="s">
        <v>63</v>
      </c>
      <c r="D20" s="20" t="s">
        <v>63</v>
      </c>
      <c r="E20" s="20" t="s">
        <v>63</v>
      </c>
      <c r="F20" s="20" t="s">
        <v>63</v>
      </c>
      <c r="G20" s="20" t="s">
        <v>63</v>
      </c>
      <c r="H20" s="13" t="s">
        <v>12</v>
      </c>
    </row>
    <row r="21" spans="1:8" ht="15" customHeight="1" x14ac:dyDescent="0.25">
      <c r="A21" s="23"/>
      <c r="B21" s="56" t="s">
        <v>20</v>
      </c>
      <c r="C21" s="57"/>
      <c r="D21" s="57"/>
      <c r="E21" s="57"/>
      <c r="F21" s="57"/>
      <c r="G21" s="22" t="e">
        <f>G20-G18</f>
        <v>#VALUE!</v>
      </c>
      <c r="H21" s="13" t="s">
        <v>12</v>
      </c>
    </row>
    <row r="22" spans="1:8" ht="30.75" customHeight="1" x14ac:dyDescent="0.25">
      <c r="A22" s="15" t="s">
        <v>21</v>
      </c>
      <c r="B22" s="7" t="s">
        <v>6</v>
      </c>
      <c r="C22" s="7" t="s">
        <v>7</v>
      </c>
      <c r="D22" s="7" t="s">
        <v>8</v>
      </c>
      <c r="E22" s="7" t="s">
        <v>69</v>
      </c>
      <c r="F22" s="8" t="s">
        <v>9</v>
      </c>
      <c r="G22" s="24" t="s">
        <v>10</v>
      </c>
      <c r="H22" s="24" t="s">
        <v>11</v>
      </c>
    </row>
    <row r="23" spans="1:8" ht="15" customHeight="1" x14ac:dyDescent="0.25">
      <c r="A23" s="10"/>
      <c r="B23" t="s">
        <v>70</v>
      </c>
      <c r="C23" t="s">
        <v>71</v>
      </c>
      <c r="D23" s="46" t="s">
        <v>72</v>
      </c>
      <c r="E23" s="12">
        <v>1</v>
      </c>
      <c r="F23" s="48">
        <v>100</v>
      </c>
      <c r="G23" s="13">
        <f t="shared" ref="G23:G25" si="1">E23*F23</f>
        <v>100</v>
      </c>
      <c r="H23" s="13" t="s">
        <v>12</v>
      </c>
    </row>
    <row r="24" spans="1:8" ht="15" customHeight="1" x14ac:dyDescent="0.25">
      <c r="A24" s="10"/>
      <c r="B24" s="3" t="s">
        <v>75</v>
      </c>
      <c r="C24" s="3" t="s">
        <v>76</v>
      </c>
      <c r="D24" s="11" t="s">
        <v>77</v>
      </c>
      <c r="E24" s="12">
        <v>1</v>
      </c>
      <c r="F24" s="3">
        <v>100</v>
      </c>
      <c r="G24" s="13">
        <f t="shared" si="1"/>
        <v>100</v>
      </c>
      <c r="H24" s="13" t="s">
        <v>12</v>
      </c>
    </row>
    <row r="25" spans="1:8" ht="15" customHeight="1" x14ac:dyDescent="0.25">
      <c r="A25" s="10"/>
      <c r="B25" s="3" t="s">
        <v>60</v>
      </c>
      <c r="C25" s="3" t="s">
        <v>64</v>
      </c>
      <c r="D25" s="11" t="s">
        <v>61</v>
      </c>
      <c r="E25" s="12">
        <v>1</v>
      </c>
      <c r="F25" s="3">
        <v>0.1</v>
      </c>
      <c r="G25" s="13">
        <f t="shared" si="1"/>
        <v>0.1</v>
      </c>
      <c r="H25" s="13" t="s">
        <v>12</v>
      </c>
    </row>
    <row r="26" spans="1:8" ht="15" customHeight="1" x14ac:dyDescent="0.25">
      <c r="A26" s="10"/>
      <c r="B26" s="54" t="s">
        <v>15</v>
      </c>
      <c r="C26" s="55"/>
      <c r="D26" s="55"/>
      <c r="E26" s="55"/>
      <c r="F26" s="55"/>
      <c r="G26" s="13">
        <f>SUM(G23:G25)</f>
        <v>200.1</v>
      </c>
      <c r="H26" s="13" t="s">
        <v>12</v>
      </c>
    </row>
    <row r="27" spans="1:8" ht="15" customHeight="1" x14ac:dyDescent="0.25">
      <c r="A27" s="10"/>
      <c r="B27" s="54" t="s">
        <v>16</v>
      </c>
      <c r="C27" s="55"/>
      <c r="D27" s="55"/>
      <c r="E27" s="55"/>
      <c r="F27" s="55"/>
      <c r="G27" s="17">
        <v>0.25</v>
      </c>
      <c r="H27" s="17"/>
    </row>
    <row r="28" spans="1:8" ht="15" customHeight="1" x14ac:dyDescent="0.25">
      <c r="A28" s="18"/>
      <c r="B28" s="54" t="s">
        <v>22</v>
      </c>
      <c r="C28" s="55"/>
      <c r="D28" s="55"/>
      <c r="E28" s="55"/>
      <c r="F28" s="55"/>
      <c r="G28" s="13">
        <f>G26*(1+G27)</f>
        <v>250.125</v>
      </c>
      <c r="H28" s="13" t="s">
        <v>12</v>
      </c>
    </row>
    <row r="29" spans="1:8" ht="15" customHeight="1" x14ac:dyDescent="0.25">
      <c r="A29" s="19"/>
      <c r="B29" s="20"/>
      <c r="C29" s="20"/>
      <c r="D29" s="12"/>
      <c r="E29" s="12"/>
      <c r="F29" s="21"/>
      <c r="G29" s="22"/>
      <c r="H29" s="13"/>
    </row>
    <row r="30" spans="1:8" ht="15" customHeight="1" x14ac:dyDescent="0.25">
      <c r="A30" s="19" t="s">
        <v>23</v>
      </c>
      <c r="B30" s="20" t="s">
        <v>24</v>
      </c>
      <c r="C30" s="3" t="s">
        <v>74</v>
      </c>
      <c r="D30" s="11" t="s">
        <v>62</v>
      </c>
      <c r="E30" s="12">
        <v>1</v>
      </c>
      <c r="F30" s="21">
        <v>1500</v>
      </c>
      <c r="G30" s="22">
        <f>E30*F30</f>
        <v>1500</v>
      </c>
      <c r="H30" s="13" t="s">
        <v>12</v>
      </c>
    </row>
    <row r="31" spans="1:8" ht="15" customHeight="1" x14ac:dyDescent="0.25">
      <c r="A31" s="23"/>
      <c r="B31" s="56" t="s">
        <v>25</v>
      </c>
      <c r="C31" s="57"/>
      <c r="D31" s="57"/>
      <c r="E31" s="57"/>
      <c r="F31" s="57"/>
      <c r="G31" s="22">
        <f>G30-G28</f>
        <v>1249.875</v>
      </c>
      <c r="H31" s="13" t="s">
        <v>12</v>
      </c>
    </row>
    <row r="32" spans="1:8" ht="29.25" customHeight="1" x14ac:dyDescent="0.25">
      <c r="A32" s="15" t="s">
        <v>26</v>
      </c>
      <c r="B32" s="7" t="s">
        <v>6</v>
      </c>
      <c r="C32" s="7" t="s">
        <v>7</v>
      </c>
      <c r="D32" s="7" t="s">
        <v>8</v>
      </c>
      <c r="E32" s="7" t="s">
        <v>69</v>
      </c>
      <c r="F32" s="8" t="s">
        <v>9</v>
      </c>
      <c r="G32" s="24" t="s">
        <v>10</v>
      </c>
      <c r="H32" s="24" t="s">
        <v>11</v>
      </c>
    </row>
    <row r="33" spans="1:8" ht="15" customHeight="1" x14ac:dyDescent="0.25">
      <c r="A33" s="10"/>
      <c r="B33" s="3" t="s">
        <v>63</v>
      </c>
      <c r="C33" s="20" t="s">
        <v>63</v>
      </c>
      <c r="D33" s="20" t="s">
        <v>63</v>
      </c>
      <c r="E33" s="20" t="s">
        <v>63</v>
      </c>
      <c r="F33" s="20" t="s">
        <v>63</v>
      </c>
      <c r="G33" s="20" t="s">
        <v>63</v>
      </c>
      <c r="H33" s="13" t="s">
        <v>12</v>
      </c>
    </row>
    <row r="34" spans="1:8" ht="15" customHeight="1" x14ac:dyDescent="0.25">
      <c r="A34" s="10"/>
      <c r="B34" s="54" t="s">
        <v>15</v>
      </c>
      <c r="C34" s="55"/>
      <c r="D34" s="55"/>
      <c r="E34" s="55"/>
      <c r="F34" s="55"/>
      <c r="G34" s="13">
        <f>SUM(G32:G33)</f>
        <v>0</v>
      </c>
      <c r="H34" s="13" t="s">
        <v>12</v>
      </c>
    </row>
    <row r="35" spans="1:8" ht="15" customHeight="1" x14ac:dyDescent="0.25">
      <c r="A35" s="10"/>
      <c r="B35" s="54" t="s">
        <v>16</v>
      </c>
      <c r="C35" s="55"/>
      <c r="D35" s="55"/>
      <c r="E35" s="55"/>
      <c r="F35" s="55"/>
      <c r="G35" s="17">
        <v>0.25</v>
      </c>
      <c r="H35" s="17"/>
    </row>
    <row r="36" spans="1:8" ht="15" customHeight="1" x14ac:dyDescent="0.25">
      <c r="A36" s="10"/>
      <c r="B36" s="54" t="s">
        <v>27</v>
      </c>
      <c r="C36" s="55"/>
      <c r="D36" s="55"/>
      <c r="E36" s="55"/>
      <c r="F36" s="55"/>
      <c r="G36" s="13">
        <f>G34*(1+G35)</f>
        <v>0</v>
      </c>
      <c r="H36" s="13" t="s">
        <v>12</v>
      </c>
    </row>
    <row r="37" spans="1:8" ht="15" customHeight="1" x14ac:dyDescent="0.25">
      <c r="A37" s="19"/>
      <c r="B37" s="20"/>
      <c r="C37" s="20"/>
      <c r="D37" s="12"/>
      <c r="E37" s="12"/>
      <c r="F37" s="21"/>
      <c r="G37" s="22"/>
      <c r="H37" s="13"/>
    </row>
    <row r="38" spans="1:8" ht="15" customHeight="1" x14ac:dyDescent="0.25">
      <c r="A38" s="19" t="s">
        <v>28</v>
      </c>
      <c r="B38" s="20" t="s">
        <v>29</v>
      </c>
      <c r="C38" s="20" t="s">
        <v>63</v>
      </c>
      <c r="D38" s="3" t="s">
        <v>63</v>
      </c>
      <c r="E38" s="3" t="s">
        <v>63</v>
      </c>
      <c r="F38" s="3" t="s">
        <v>63</v>
      </c>
      <c r="G38" s="3" t="s">
        <v>63</v>
      </c>
      <c r="H38" s="13" t="s">
        <v>12</v>
      </c>
    </row>
    <row r="39" spans="1:8" ht="15" customHeight="1" x14ac:dyDescent="0.25">
      <c r="A39" s="23"/>
      <c r="B39" s="56" t="s">
        <v>30</v>
      </c>
      <c r="C39" s="57"/>
      <c r="D39" s="57"/>
      <c r="E39" s="57"/>
      <c r="F39" s="57"/>
      <c r="G39" s="22" t="e">
        <f>G38-G36</f>
        <v>#VALUE!</v>
      </c>
      <c r="H39" s="13" t="s">
        <v>12</v>
      </c>
    </row>
    <row r="40" spans="1:8" ht="30.75" customHeight="1" x14ac:dyDescent="0.25">
      <c r="A40" s="15" t="s">
        <v>31</v>
      </c>
      <c r="B40" s="7" t="s">
        <v>6</v>
      </c>
      <c r="C40" s="7" t="s">
        <v>7</v>
      </c>
      <c r="D40" s="7" t="s">
        <v>8</v>
      </c>
      <c r="E40" s="7" t="s">
        <v>69</v>
      </c>
      <c r="F40" s="8" t="s">
        <v>9</v>
      </c>
      <c r="G40" s="24" t="s">
        <v>10</v>
      </c>
      <c r="H40" s="24" t="s">
        <v>11</v>
      </c>
    </row>
    <row r="41" spans="1:8" ht="15" customHeight="1" x14ac:dyDescent="0.25">
      <c r="A41" s="10"/>
      <c r="B41" s="3" t="s">
        <v>63</v>
      </c>
      <c r="C41" s="3" t="s">
        <v>63</v>
      </c>
      <c r="D41" s="3" t="s">
        <v>63</v>
      </c>
      <c r="E41" s="3" t="s">
        <v>63</v>
      </c>
      <c r="F41" s="3" t="s">
        <v>63</v>
      </c>
      <c r="G41" s="3" t="s">
        <v>63</v>
      </c>
      <c r="H41" s="13" t="s">
        <v>12</v>
      </c>
    </row>
    <row r="42" spans="1:8" ht="15" customHeight="1" x14ac:dyDescent="0.25">
      <c r="A42" s="10"/>
      <c r="B42" s="3"/>
      <c r="C42" s="3"/>
      <c r="D42" s="12"/>
      <c r="E42" s="12"/>
      <c r="F42" s="3"/>
      <c r="G42" s="13">
        <f t="shared" ref="G42" si="2">E42*F42</f>
        <v>0</v>
      </c>
      <c r="H42" s="13" t="s">
        <v>12</v>
      </c>
    </row>
    <row r="43" spans="1:8" ht="15" customHeight="1" x14ac:dyDescent="0.25">
      <c r="A43" s="10"/>
      <c r="B43" s="54" t="s">
        <v>15</v>
      </c>
      <c r="C43" s="55"/>
      <c r="D43" s="55"/>
      <c r="E43" s="55"/>
      <c r="F43" s="55"/>
      <c r="G43" s="13">
        <f>SUM(G40:G42)</f>
        <v>0</v>
      </c>
      <c r="H43" s="13" t="s">
        <v>12</v>
      </c>
    </row>
    <row r="44" spans="1:8" ht="15" customHeight="1" x14ac:dyDescent="0.25">
      <c r="A44" s="10"/>
      <c r="B44" s="54" t="s">
        <v>16</v>
      </c>
      <c r="C44" s="55"/>
      <c r="D44" s="55"/>
      <c r="E44" s="55"/>
      <c r="F44" s="55"/>
      <c r="G44" s="17">
        <v>0.25</v>
      </c>
      <c r="H44" s="17"/>
    </row>
    <row r="45" spans="1:8" ht="15" customHeight="1" x14ac:dyDescent="0.25">
      <c r="A45" s="10"/>
      <c r="B45" s="54" t="s">
        <v>32</v>
      </c>
      <c r="C45" s="55"/>
      <c r="D45" s="55"/>
      <c r="E45" s="55"/>
      <c r="F45" s="55"/>
      <c r="G45" s="13">
        <f>G43*(1+G44)</f>
        <v>0</v>
      </c>
      <c r="H45" s="13" t="s">
        <v>12</v>
      </c>
    </row>
    <row r="46" spans="1:8" ht="15" customHeight="1" x14ac:dyDescent="0.25">
      <c r="A46" s="19"/>
      <c r="B46" s="3"/>
      <c r="C46" s="3"/>
      <c r="D46" s="12"/>
      <c r="E46" s="12"/>
      <c r="F46" s="3"/>
      <c r="G46" s="13"/>
      <c r="H46" s="14"/>
    </row>
    <row r="47" spans="1:8" ht="15" customHeight="1" x14ac:dyDescent="0.25">
      <c r="A47" s="19" t="s">
        <v>33</v>
      </c>
      <c r="B47" s="3" t="s">
        <v>34</v>
      </c>
      <c r="C47" s="3" t="s">
        <v>63</v>
      </c>
      <c r="D47" s="3" t="s">
        <v>63</v>
      </c>
      <c r="E47" s="3" t="s">
        <v>63</v>
      </c>
      <c r="F47" s="3" t="s">
        <v>63</v>
      </c>
      <c r="G47" s="3" t="s">
        <v>63</v>
      </c>
      <c r="H47" s="13" t="s">
        <v>12</v>
      </c>
    </row>
    <row r="48" spans="1:8" ht="15" customHeight="1" x14ac:dyDescent="0.25">
      <c r="A48" s="10"/>
      <c r="B48" s="58" t="s">
        <v>35</v>
      </c>
      <c r="C48" s="55"/>
      <c r="D48" s="55"/>
      <c r="E48" s="55"/>
      <c r="F48" s="55"/>
      <c r="G48" s="22" t="e">
        <f>G47-G45</f>
        <v>#VALUE!</v>
      </c>
      <c r="H48" s="13" t="s">
        <v>12</v>
      </c>
    </row>
    <row r="49" spans="1:8" ht="15" customHeight="1" x14ac:dyDescent="0.25">
      <c r="A49" s="25"/>
      <c r="B49" s="26"/>
      <c r="C49" s="26"/>
      <c r="D49" s="26"/>
      <c r="E49" s="26"/>
      <c r="F49" s="26"/>
      <c r="G49" s="18"/>
      <c r="H49" s="27"/>
    </row>
    <row r="50" spans="1:8" ht="15" customHeight="1" x14ac:dyDescent="0.25">
      <c r="A50" s="51" t="s">
        <v>36</v>
      </c>
      <c r="B50" s="52"/>
      <c r="C50" s="52"/>
      <c r="D50" s="52"/>
      <c r="E50" s="52"/>
      <c r="F50" s="52"/>
      <c r="G50" s="52"/>
      <c r="H50" s="53"/>
    </row>
    <row r="51" spans="1:8" ht="15" customHeight="1" x14ac:dyDescent="0.25">
      <c r="A51" s="59"/>
      <c r="B51" s="57"/>
      <c r="C51" s="57"/>
      <c r="D51" s="57"/>
      <c r="E51" s="57"/>
      <c r="F51" s="57"/>
      <c r="G51" s="57"/>
      <c r="H51" s="60"/>
    </row>
    <row r="52" spans="1:8" ht="15" customHeight="1" x14ac:dyDescent="0.25">
      <c r="A52" s="51" t="s">
        <v>37</v>
      </c>
      <c r="B52" s="52"/>
      <c r="C52" s="52"/>
      <c r="D52" s="52"/>
      <c r="E52" s="52"/>
      <c r="F52" s="52"/>
      <c r="G52" s="52"/>
      <c r="H52" s="53"/>
    </row>
    <row r="53" spans="1:8" ht="30" customHeight="1" x14ac:dyDescent="0.25">
      <c r="A53" s="15" t="s">
        <v>38</v>
      </c>
      <c r="B53" s="7" t="s">
        <v>6</v>
      </c>
      <c r="C53" s="7" t="s">
        <v>7</v>
      </c>
      <c r="D53" s="7" t="s">
        <v>8</v>
      </c>
      <c r="E53" s="28" t="s">
        <v>39</v>
      </c>
      <c r="F53" s="8" t="s">
        <v>9</v>
      </c>
      <c r="G53" s="24" t="s">
        <v>10</v>
      </c>
      <c r="H53" s="24" t="s">
        <v>11</v>
      </c>
    </row>
    <row r="54" spans="1:8" ht="15" customHeight="1" x14ac:dyDescent="0.25">
      <c r="A54" s="29" t="s">
        <v>40</v>
      </c>
      <c r="B54" s="20" t="s">
        <v>41</v>
      </c>
      <c r="C54" s="12" t="s">
        <v>67</v>
      </c>
      <c r="D54" s="12" t="s">
        <v>66</v>
      </c>
      <c r="E54" s="11" t="s">
        <v>68</v>
      </c>
      <c r="F54" s="21">
        <v>3000</v>
      </c>
      <c r="G54" s="22">
        <v>3000</v>
      </c>
      <c r="H54" s="30" t="s">
        <v>12</v>
      </c>
    </row>
    <row r="55" spans="1:8" ht="15" customHeight="1" x14ac:dyDescent="0.25">
      <c r="A55" s="31"/>
      <c r="B55" s="20"/>
      <c r="C55" s="20"/>
      <c r="D55" s="12"/>
      <c r="E55" s="12"/>
      <c r="F55" s="21"/>
      <c r="G55" s="22"/>
      <c r="H55" s="32"/>
    </row>
    <row r="56" spans="1:8" ht="15" customHeight="1" x14ac:dyDescent="0.25">
      <c r="A56" s="63" t="s">
        <v>42</v>
      </c>
      <c r="B56" s="20" t="s">
        <v>19</v>
      </c>
      <c r="C56" s="20" t="s">
        <v>63</v>
      </c>
      <c r="D56" s="3" t="s">
        <v>63</v>
      </c>
      <c r="E56" s="3" t="s">
        <v>63</v>
      </c>
      <c r="F56" s="3" t="s">
        <v>63</v>
      </c>
      <c r="G56" s="3" t="s">
        <v>63</v>
      </c>
      <c r="H56" s="13" t="s">
        <v>12</v>
      </c>
    </row>
    <row r="57" spans="1:8" ht="15" customHeight="1" x14ac:dyDescent="0.25">
      <c r="A57" s="64"/>
      <c r="B57" s="20" t="s">
        <v>24</v>
      </c>
      <c r="C57" s="3" t="s">
        <v>74</v>
      </c>
      <c r="D57" s="11" t="s">
        <v>62</v>
      </c>
      <c r="E57" s="12">
        <v>1</v>
      </c>
      <c r="F57" s="21">
        <v>1500</v>
      </c>
      <c r="G57" s="22">
        <f t="shared" ref="G57" si="3">E57*F57</f>
        <v>1500</v>
      </c>
      <c r="H57" s="13" t="s">
        <v>12</v>
      </c>
    </row>
    <row r="58" spans="1:8" ht="15" customHeight="1" x14ac:dyDescent="0.25">
      <c r="A58" s="64"/>
      <c r="B58" s="3" t="s">
        <v>34</v>
      </c>
      <c r="C58" s="20" t="s">
        <v>63</v>
      </c>
      <c r="D58" s="3" t="s">
        <v>63</v>
      </c>
      <c r="E58" s="3" t="s">
        <v>63</v>
      </c>
      <c r="F58" s="3" t="s">
        <v>63</v>
      </c>
      <c r="G58" s="3" t="s">
        <v>63</v>
      </c>
      <c r="H58" s="13" t="s">
        <v>12</v>
      </c>
    </row>
    <row r="59" spans="1:8" ht="15" customHeight="1" x14ac:dyDescent="0.25">
      <c r="A59" s="31"/>
      <c r="B59" s="58" t="s">
        <v>43</v>
      </c>
      <c r="C59" s="55"/>
      <c r="D59" s="55"/>
      <c r="E59" s="55"/>
      <c r="F59" s="55"/>
      <c r="G59" s="22">
        <f>G54-SUM(G56:G58)</f>
        <v>1500</v>
      </c>
      <c r="H59" s="30" t="s">
        <v>12</v>
      </c>
    </row>
    <row r="60" spans="1:8" ht="15" customHeight="1" x14ac:dyDescent="0.25">
      <c r="A60" s="31"/>
      <c r="B60" s="5"/>
      <c r="C60" s="5"/>
      <c r="D60" s="5"/>
      <c r="E60" s="5"/>
      <c r="F60" s="5"/>
      <c r="G60" s="33"/>
      <c r="H60" s="34"/>
    </row>
    <row r="61" spans="1:8" ht="30.75" customHeight="1" x14ac:dyDescent="0.25">
      <c r="A61" s="15" t="s">
        <v>44</v>
      </c>
      <c r="B61" s="7" t="s">
        <v>6</v>
      </c>
      <c r="C61" s="7" t="s">
        <v>7</v>
      </c>
      <c r="D61" s="7" t="s">
        <v>8</v>
      </c>
      <c r="E61" s="28" t="s">
        <v>39</v>
      </c>
      <c r="F61" s="8" t="s">
        <v>9</v>
      </c>
      <c r="G61" s="24" t="s">
        <v>10</v>
      </c>
      <c r="H61" s="24" t="s">
        <v>11</v>
      </c>
    </row>
    <row r="62" spans="1:8" ht="15" customHeight="1" x14ac:dyDescent="0.25">
      <c r="A62" s="29" t="s">
        <v>45</v>
      </c>
      <c r="B62" s="20" t="s">
        <v>63</v>
      </c>
      <c r="C62" s="3" t="s">
        <v>63</v>
      </c>
      <c r="D62" s="3" t="s">
        <v>63</v>
      </c>
      <c r="E62" s="3" t="s">
        <v>63</v>
      </c>
      <c r="F62" s="3" t="s">
        <v>63</v>
      </c>
      <c r="G62" s="3" t="s">
        <v>63</v>
      </c>
      <c r="H62" s="30" t="s">
        <v>12</v>
      </c>
    </row>
    <row r="63" spans="1:8" ht="15" customHeight="1" x14ac:dyDescent="0.25">
      <c r="A63" s="31"/>
      <c r="B63" s="20"/>
      <c r="C63" s="20"/>
      <c r="D63" s="12"/>
      <c r="E63" s="12"/>
      <c r="F63" s="21"/>
      <c r="G63" s="22"/>
      <c r="H63" s="32"/>
    </row>
    <row r="64" spans="1:8" ht="15" customHeight="1" x14ac:dyDescent="0.25">
      <c r="A64" s="63" t="s">
        <v>47</v>
      </c>
      <c r="B64" s="20" t="s">
        <v>29</v>
      </c>
      <c r="C64" s="20" t="s">
        <v>63</v>
      </c>
      <c r="D64" s="3" t="s">
        <v>63</v>
      </c>
      <c r="E64" s="3" t="s">
        <v>63</v>
      </c>
      <c r="F64" s="3" t="s">
        <v>63</v>
      </c>
      <c r="G64" s="3" t="s">
        <v>63</v>
      </c>
      <c r="H64" s="13" t="s">
        <v>12</v>
      </c>
    </row>
    <row r="65" spans="1:8" ht="15" customHeight="1" x14ac:dyDescent="0.25">
      <c r="A65" s="64"/>
      <c r="B65" s="20"/>
      <c r="C65" s="20"/>
      <c r="D65" s="12"/>
      <c r="E65" s="12"/>
      <c r="F65" s="21"/>
      <c r="G65" s="22"/>
      <c r="H65" s="13"/>
    </row>
    <row r="66" spans="1:8" ht="15" customHeight="1" x14ac:dyDescent="0.25">
      <c r="A66" s="64"/>
      <c r="B66" s="3"/>
      <c r="C66" s="3"/>
      <c r="D66" s="12"/>
      <c r="E66" s="12"/>
      <c r="F66" s="3"/>
      <c r="G66" s="13"/>
      <c r="H66" s="13"/>
    </row>
    <row r="67" spans="1:8" ht="15" customHeight="1" x14ac:dyDescent="0.25">
      <c r="A67" s="31"/>
      <c r="B67" s="58" t="s">
        <v>48</v>
      </c>
      <c r="C67" s="55"/>
      <c r="D67" s="55"/>
      <c r="E67" s="55"/>
      <c r="F67" s="55"/>
      <c r="G67" s="22" t="e">
        <f>G62-SUM(G64:G66)</f>
        <v>#VALUE!</v>
      </c>
      <c r="H67" s="30" t="s">
        <v>12</v>
      </c>
    </row>
    <row r="68" spans="1:8" ht="15" customHeight="1" x14ac:dyDescent="0.25">
      <c r="A68" s="18"/>
      <c r="B68" s="3"/>
      <c r="C68" s="3"/>
      <c r="D68" s="35"/>
      <c r="E68" s="12"/>
      <c r="F68" s="3"/>
      <c r="G68" s="13"/>
      <c r="H68" s="36"/>
    </row>
    <row r="69" spans="1:8" ht="15" customHeight="1" x14ac:dyDescent="0.25">
      <c r="A69" s="51" t="s">
        <v>49</v>
      </c>
      <c r="B69" s="52"/>
      <c r="C69" s="52"/>
      <c r="D69" s="52"/>
      <c r="E69" s="52"/>
      <c r="F69" s="65"/>
      <c r="G69" s="37"/>
      <c r="H69" s="37"/>
    </row>
    <row r="70" spans="1:8" ht="29.25" customHeight="1" x14ac:dyDescent="0.25">
      <c r="A70" s="38"/>
      <c r="B70" s="39" t="s">
        <v>6</v>
      </c>
      <c r="C70" s="39" t="s">
        <v>7</v>
      </c>
      <c r="D70" s="40" t="s">
        <v>8</v>
      </c>
      <c r="E70" s="40"/>
      <c r="F70" s="41" t="s">
        <v>50</v>
      </c>
      <c r="G70" s="42" t="s">
        <v>51</v>
      </c>
      <c r="H70" s="43"/>
    </row>
    <row r="71" spans="1:8" ht="15" customHeight="1" x14ac:dyDescent="0.25">
      <c r="A71" s="10"/>
      <c r="B71" s="3" t="s">
        <v>46</v>
      </c>
      <c r="C71" s="3" t="s">
        <v>63</v>
      </c>
      <c r="D71" s="3" t="s">
        <v>63</v>
      </c>
      <c r="E71" s="3" t="s">
        <v>63</v>
      </c>
      <c r="F71" s="3" t="s">
        <v>63</v>
      </c>
      <c r="G71" s="3" t="s">
        <v>63</v>
      </c>
      <c r="H71" s="13"/>
    </row>
    <row r="72" spans="1:8" ht="15" customHeight="1" x14ac:dyDescent="0.25">
      <c r="A72" s="10"/>
      <c r="B72" s="3"/>
      <c r="C72" s="3"/>
      <c r="D72" s="12"/>
      <c r="E72" s="12"/>
      <c r="F72" s="16" t="s">
        <v>52</v>
      </c>
      <c r="G72" s="13" t="e">
        <f>F71/G71</f>
        <v>#VALUE!</v>
      </c>
      <c r="H72" s="13" t="s">
        <v>53</v>
      </c>
    </row>
    <row r="73" spans="1:8" ht="15" customHeight="1" x14ac:dyDescent="0.25">
      <c r="A73" s="66" t="s">
        <v>54</v>
      </c>
      <c r="B73" s="55"/>
      <c r="C73" s="55"/>
      <c r="D73" s="55"/>
      <c r="E73" s="55"/>
      <c r="F73" s="55"/>
      <c r="G73" s="44"/>
      <c r="H73" s="44"/>
    </row>
    <row r="74" spans="1:8" ht="15" customHeight="1" x14ac:dyDescent="0.25">
      <c r="A74" s="61" t="s">
        <v>55</v>
      </c>
      <c r="B74" s="55"/>
      <c r="C74" s="55"/>
      <c r="D74" s="55"/>
      <c r="E74" s="55"/>
      <c r="F74" s="55"/>
      <c r="G74" s="55"/>
      <c r="H74" s="55"/>
    </row>
    <row r="75" spans="1:8" ht="15" customHeight="1" x14ac:dyDescent="0.25">
      <c r="A75" s="62" t="s">
        <v>56</v>
      </c>
      <c r="B75" s="55"/>
      <c r="C75" s="55"/>
      <c r="D75" s="55"/>
      <c r="E75" s="55"/>
      <c r="F75" s="55"/>
      <c r="G75" s="55"/>
      <c r="H75" s="55"/>
    </row>
    <row r="76" spans="1:8" ht="15.75" customHeight="1" x14ac:dyDescent="0.25">
      <c r="A76" s="3"/>
      <c r="B76" s="3"/>
      <c r="C76" s="3"/>
      <c r="D76" s="3"/>
      <c r="E76" s="3"/>
      <c r="F76" s="3"/>
      <c r="G76" s="3"/>
      <c r="H76" s="3"/>
    </row>
    <row r="77" spans="1:8" ht="15.75" customHeight="1" x14ac:dyDescent="0.25">
      <c r="A77" s="3"/>
      <c r="B77" s="3"/>
      <c r="C77" s="3"/>
      <c r="D77" s="3"/>
      <c r="E77" s="3"/>
      <c r="F77" s="3"/>
      <c r="G77" s="3"/>
      <c r="H77" s="3"/>
    </row>
  </sheetData>
  <mergeCells count="30">
    <mergeCell ref="A51:H51"/>
    <mergeCell ref="A74:H74"/>
    <mergeCell ref="A75:H75"/>
    <mergeCell ref="A52:H52"/>
    <mergeCell ref="A56:A58"/>
    <mergeCell ref="B59:F59"/>
    <mergeCell ref="A64:A66"/>
    <mergeCell ref="B67:F67"/>
    <mergeCell ref="A69:F69"/>
    <mergeCell ref="A73:F73"/>
    <mergeCell ref="B43:F43"/>
    <mergeCell ref="B44:F44"/>
    <mergeCell ref="B45:F45"/>
    <mergeCell ref="B48:F48"/>
    <mergeCell ref="A50:H50"/>
    <mergeCell ref="B31:F31"/>
    <mergeCell ref="B34:F34"/>
    <mergeCell ref="B35:F35"/>
    <mergeCell ref="B36:F36"/>
    <mergeCell ref="B39:F39"/>
    <mergeCell ref="B18:F18"/>
    <mergeCell ref="B21:F21"/>
    <mergeCell ref="B26:F26"/>
    <mergeCell ref="B27:F27"/>
    <mergeCell ref="B28:F28"/>
    <mergeCell ref="A1:H1"/>
    <mergeCell ref="A7:H7"/>
    <mergeCell ref="A13:H13"/>
    <mergeCell ref="B16:F16"/>
    <mergeCell ref="B17:F17"/>
  </mergeCells>
  <conditionalFormatting sqref="G21 G31 G39 G48">
    <cfRule type="cellIs" dxfId="0" priority="1" operator="lessThan">
      <formula>0</formula>
    </cfRule>
  </conditionalFormatting>
  <pageMargins left="0.7" right="0.7" top="0.75" bottom="0.75" header="0.3" footer="0.3"/>
  <pageSetup scale="63" fitToHeight="0" orientation="landscape"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Bryce Weber</dc:creator>
  <cp:lastModifiedBy>Bryce Weber</cp:lastModifiedBy>
  <cp:lastPrinted>2025-10-31T01:03:34Z</cp:lastPrinted>
  <dcterms:created xsi:type="dcterms:W3CDTF">2025-10-31T01:03:56Z</dcterms:created>
  <dcterms:modified xsi:type="dcterms:W3CDTF">2025-12-07T18:35:02Z</dcterms:modified>
</cp:coreProperties>
</file>