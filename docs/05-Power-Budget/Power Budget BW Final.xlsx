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okem\OneDrive\Documents\"/>
    </mc:Choice>
  </mc:AlternateContent>
  <xr:revisionPtr revIDLastSave="0" documentId="8_{8D36DF1D-E3D8-4180-9AB5-7F93910FE54E}" xr6:coauthVersionLast="47" xr6:coauthVersionMax="47" xr10:uidLastSave="{00000000-0000-0000-0000-000000000000}"/>
  <bookViews>
    <workbookView xWindow="-120" yWindow="-120" windowWidth="29040" windowHeight="1572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G16" i="1"/>
  <c r="G9" i="1"/>
  <c r="G10" i="1"/>
  <c r="G11" i="1"/>
  <c r="G31" i="1"/>
  <c r="G22" i="1"/>
  <c r="G17" i="1"/>
  <c r="G18" i="1" l="1"/>
  <c r="G20" i="1" s="1"/>
  <c r="G23" i="1" s="1"/>
  <c r="G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<sst xmlns="http://schemas.openxmlformats.org/spreadsheetml/2006/main" count="89" uniqueCount="52">
  <si>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</si>
  <si>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</si>
  <si>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</si>
  <si>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</si>
  <si>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</si>
  <si>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</si>
  <si>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</si>
  <si>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</si>
  <si>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</si>
  <si>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</si>
  <si>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</si>
  <si>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</si>
  <si>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</si>
  <si>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</si>
  <si>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</si>
  <si>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</si>
  <si>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+5V Power Rail</t>
  </si>
  <si>
    <t>Total Current Required on +5V Rail</t>
  </si>
  <si>
    <t>c2. Regulator or Source Choice</t>
  </si>
  <si>
    <t xml:space="preserve"> +5V Regulator</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</si>
  <si>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</si>
  <si>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</si>
  <si>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</si>
  <si>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</si>
  <si>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</si>
  <si>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</si>
  <si>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</si>
  <si>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</si>
  <si>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</si>
  <si>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</si>
  <si>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</si>
  <si>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</si>
  <si>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Bryce, Mathew, Andrew, Dylan</t>
  </si>
  <si>
    <t>Smart Door Sensor</t>
  </si>
  <si>
    <t>Team 209</t>
  </si>
  <si>
    <t>Op-Amp</t>
  </si>
  <si>
    <t>+1.8V - 6V</t>
  </si>
  <si>
    <t>+5V - 18V</t>
  </si>
  <si>
    <t>MCP6004-I/P</t>
  </si>
  <si>
    <t>Power Budget</t>
  </si>
  <si>
    <t>264VAC</t>
  </si>
  <si>
    <t>L6R36-090</t>
  </si>
  <si>
    <t>+9V - 36V</t>
  </si>
  <si>
    <t>Qty.</t>
  </si>
  <si>
    <t>PIC18F57Q43 Curiosity Nano</t>
  </si>
  <si>
    <t>DM164150</t>
  </si>
  <si>
    <t>+1.8V - 5.1V</t>
  </si>
  <si>
    <t>01</t>
  </si>
  <si>
    <t>L7805CV</t>
  </si>
  <si>
    <t>IR Emitter Detector</t>
  </si>
  <si>
    <t>OPB732</t>
  </si>
  <si>
    <t>+5v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</si>
</sst>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rgb="FF000000"/>
      <name val="Calibri"/>
    </font>
    <font>
      <sz val="12"/>
      <name val="Calibri"/>
      <family val="2"/>
    </font>
    <font>
      <b/>
      <sz val="12"/>
      <color rgb="FF000000"/>
      <name val="Calibri"/>
      <family val="2"/>
    </font>
    <font>
      <sz val="12"/>
      <color rgb="FF000000"/>
      <name val="Calibri"/>
      <family val="2"/>
    </font>
    <font>
      <b/>
      <sz val="24"/>
      <color rgb="FF000000"/>
      <name val="Calibri"/>
      <family val="2"/>
    </font>
    <font>
      <b/>
      <i/>
      <sz val="12"/>
      <color rgb="FF000000"/>
      <name val="Calibri"/>
      <family val="2"/>
    </font>
  </fonts>
  <fills count="6">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
      <patternFill patternType="solid">
        <fgColor rgb="FFEB96F4"/>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6">
    <xf numFmtId="0" fontId="0" fillId="0" borderId="0" xfId="0"/>
    <xf numFmtId="0" fontId="1" fillId="0" borderId="1" xfId="0" applyFont="1" applyBorder="1"/>
    <xf numFmtId="0" fontId="2" fillId="0" borderId="1" xfId="0" applyFont="1" applyBorder="1"/>
    <xf numFmtId="0" fontId="3" fillId="0" borderId="0" xfId="0" applyFont="1"/>
    <xf numFmtId="0" fontId="2" fillId="0" borderId="0" xfId="0" applyFont="1"/>
    <xf numFmtId="0" fontId="2" fillId="0" borderId="0" xfId="0" applyFont="1" applyAlignment="1">
      <alignment horizontal="center"/>
    </xf>
    <xf numFmtId="0" fontId="2" fillId="3" borderId="2"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3" borderId="7" xfId="0" applyFont="1" applyFill="1" applyBorder="1" applyAlignment="1">
      <alignment horizontal="center"/>
    </xf>
    <xf numFmtId="0" fontId="3" fillId="0" borderId="8" xfId="0" applyFont="1" applyBorder="1"/>
    <xf numFmtId="0" fontId="3" fillId="0" borderId="0" xfId="0" quotePrefix="1" applyFont="1" applyAlignment="1">
      <alignment horizontal="center"/>
    </xf>
    <xf numFmtId="0" fontId="3" fillId="0" borderId="0" xfId="0" applyFont="1" applyAlignment="1">
      <alignment horizontal="center"/>
    </xf>
    <xf numFmtId="0" fontId="3" fillId="0" borderId="9" xfId="0" applyFont="1" applyBorder="1"/>
    <xf numFmtId="0" fontId="5" fillId="3" borderId="10" xfId="0" applyFont="1" applyFill="1" applyBorder="1"/>
    <xf numFmtId="9" fontId="3" fillId="0" borderId="9" xfId="0" applyNumberFormat="1" applyFont="1" applyBorder="1"/>
    <xf numFmtId="0" fontId="5" fillId="0" borderId="8" xfId="0" applyFont="1" applyBorder="1"/>
    <xf numFmtId="0" fontId="5" fillId="0" borderId="8" xfId="0" applyFont="1" applyBorder="1" applyAlignment="1">
      <alignment horizontal="left"/>
    </xf>
    <xf numFmtId="0" fontId="3" fillId="0" borderId="0" xfId="0" applyFont="1" applyAlignment="1">
      <alignment horizontal="left"/>
    </xf>
    <xf numFmtId="0" fontId="3" fillId="0" borderId="0" xfId="0" applyFont="1" applyAlignment="1">
      <alignment horizontal="right"/>
    </xf>
    <xf numFmtId="0" fontId="3" fillId="0" borderId="9" xfId="0" applyFont="1" applyBorder="1" applyAlignment="1">
      <alignment horizontal="right"/>
    </xf>
    <xf numFmtId="0" fontId="5" fillId="0" borderId="11" xfId="0" applyFont="1" applyBorder="1" applyAlignment="1">
      <alignment horizontal="left"/>
    </xf>
    <xf numFmtId="0" fontId="2" fillId="3" borderId="1" xfId="0" applyFont="1" applyFill="1" applyBorder="1" applyAlignment="1">
      <alignment horizontal="center"/>
    </xf>
    <xf numFmtId="0" fontId="2" fillId="3" borderId="5" xfId="0" applyFont="1" applyFill="1" applyBorder="1" applyAlignment="1">
      <alignment horizontal="center" wrapText="1"/>
    </xf>
    <xf numFmtId="0" fontId="2" fillId="0" borderId="8" xfId="0" applyFont="1" applyBorder="1" applyAlignment="1">
      <alignment horizontal="left"/>
    </xf>
    <xf numFmtId="0" fontId="3" fillId="0" borderId="14" xfId="0" applyFont="1" applyBorder="1" applyAlignment="1">
      <alignment horizontal="left"/>
    </xf>
    <xf numFmtId="0" fontId="2" fillId="0" borderId="8" xfId="0" applyFont="1" applyBorder="1" applyAlignment="1">
      <alignment horizontal="center"/>
    </xf>
    <xf numFmtId="0" fontId="3" fillId="0" borderId="14" xfId="0" applyFont="1" applyBorder="1"/>
    <xf numFmtId="0" fontId="2" fillId="0" borderId="14" xfId="0" applyFont="1" applyBorder="1" applyAlignment="1">
      <alignment horizontal="center"/>
    </xf>
    <xf numFmtId="0" fontId="3" fillId="2" borderId="0" xfId="0" applyFont="1" applyFill="1"/>
    <xf numFmtId="0" fontId="2" fillId="0" borderId="1" xfId="0" quotePrefix="1" applyFont="1" applyBorder="1"/>
    <xf numFmtId="0" fontId="0" fillId="0" borderId="0" xfId="0" quotePrefix="1" applyAlignment="1">
      <alignment horizontal="center"/>
    </xf>
    <xf numFmtId="0" fontId="0" fillId="0" borderId="0" xfId="0" applyAlignment="1">
      <alignment horizontal="center"/>
    </xf>
    <xf numFmtId="0" fontId="0" fillId="0" borderId="0" xfId="0" applyAlignment="1">
      <alignment horizontal="right"/>
    </xf>
    <xf numFmtId="0" fontId="5" fillId="0" borderId="11" xfId="0" applyFont="1" applyBorder="1" applyAlignment="1">
      <alignment wrapText="1"/>
    </xf>
    <xf numFmtId="0" fontId="1" fillId="0" borderId="12" xfId="0" applyFont="1" applyBorder="1"/>
    <xf numFmtId="0" fontId="1" fillId="0" borderId="13" xfId="0" applyFont="1" applyBorder="1"/>
    <xf numFmtId="0" fontId="3" fillId="0" borderId="0" xfId="0" applyFont="1" applyAlignment="1">
      <alignment wrapText="1"/>
    </xf>
    <xf numFmtId="0" fontId="3" fillId="0" borderId="0" xfId="0" applyFont="1"/>
    <xf numFmtId="0" fontId="3" fillId="4" borderId="0" xfId="0" applyFont="1" applyFill="1" applyAlignment="1">
      <alignment horizontal="left" wrapText="1"/>
    </xf>
    <xf numFmtId="0" fontId="5" fillId="2" borderId="2" xfId="0" applyFont="1" applyFill="1" applyBorder="1" applyAlignment="1">
      <alignment wrapText="1"/>
    </xf>
    <xf numFmtId="0" fontId="1" fillId="0" borderId="3" xfId="0" applyFont="1" applyBorder="1"/>
    <xf numFmtId="0" fontId="1" fillId="0" borderId="4" xfId="0" applyFont="1" applyBorder="1"/>
    <xf numFmtId="0" fontId="2" fillId="0" borderId="8" xfId="0" applyFont="1" applyBorder="1" applyAlignment="1">
      <alignment horizontal="left" vertical="center" wrapText="1"/>
    </xf>
    <xf numFmtId="0" fontId="1" fillId="0" borderId="8" xfId="0" applyFont="1" applyBorder="1"/>
    <xf numFmtId="49" fontId="5" fillId="0" borderId="0" xfId="0" applyNumberFormat="1" applyFont="1" applyAlignment="1">
      <alignment horizontal="right"/>
    </xf>
    <xf numFmtId="0" fontId="5" fillId="2" borderId="0" xfId="0" applyFont="1" applyFill="1"/>
    <xf numFmtId="0" fontId="5" fillId="0" borderId="0" xfId="0" applyFont="1" applyAlignment="1">
      <alignment horizontal="right"/>
    </xf>
    <xf numFmtId="49" fontId="5" fillId="0" borderId="12" xfId="0" applyNumberFormat="1" applyFont="1" applyBorder="1" applyAlignment="1">
      <alignment horizontal="right"/>
    </xf>
    <xf numFmtId="0" fontId="4" fillId="5" borderId="0" xfId="0" applyFont="1" applyFill="1" applyAlignment="1">
      <alignment horizontal="center"/>
    </xf>
    <xf numFmtId="0" fontId="3" fillId="5" borderId="0" xfId="0" applyFont="1" applyFill="1"/>
    <xf numFmtId="0" fontId="2" fillId="3" borderId="15" xfId="0" applyFont="1" applyFill="1" applyBorder="1" applyAlignment="1">
      <alignment horizontal="center"/>
    </xf>
    <xf numFmtId="0" fontId="3" fillId="0" borderId="16" xfId="0" applyFont="1" applyBorder="1" applyAlignment="1">
      <alignment horizontal="right"/>
    </xf>
    <xf numFmtId="0" fontId="3" fillId="0" borderId="17" xfId="0" applyFont="1" applyBorder="1" applyAlignment="1">
      <alignment horizontal="right"/>
    </xf>
    <xf numFmtId="0" fontId="3" fillId="0" borderId="17" xfId="0" applyFont="1" applyBorder="1"/>
    <xf numFmtId="0" fontId="2" fillId="0" borderId="18" xfId="0" applyFont="1" applyBorder="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colors>
    <mruColors>
      <color rgb="FFEB96F4"/>
      <color rgb="FFCC66FF"/>
      <color rgb="FFCC99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39"/>
  <sheetViews>
    <sheetView tabSelected="1" workbookViewId="0">
      <selection activeCell="C34" sqref="C34"/>
    </sheetView>
  </sheetViews>
  <sheetFormatPr defaultColWidth="13.5" defaultRowHeight="15.75" customHeight="1" x14ac:dyDescent="0.25"/>
  <cols>
    <col min="1" max="1" width="22.25" customWidth="1"/>
    <col min="2" max="2" width="27.375" customWidth="1"/>
    <col min="3" max="3" width="18.875" customWidth="1"/>
    <col min="4" max="4" width="28.5" customWidth="1"/>
    <col min="5" max="5" width="10.625" customWidth="1"/>
    <col min="6" max="6" width="36.875" customWidth="1"/>
    <col min="7" max="7" width="23.5" customWidth="1"/>
    <col min="8" max="8" width="9" customWidth="1"/>
  </cols>
  <sheetData>
    <row r="1" spans="1:8" ht="30" customHeight="1" x14ac:dyDescent="0.5">
      <c r="A1" s="49" t="s">
        <v>39</v>
      </c>
      <c r="B1" s="50"/>
      <c r="C1" s="50"/>
      <c r="D1" s="50"/>
      <c r="E1" s="50"/>
      <c r="F1" s="50"/>
      <c r="G1" s="50"/>
      <c r="H1" s="50"/>
    </row>
    <row r="2" spans="1:8" ht="15" customHeight="1" x14ac:dyDescent="0.25">
      <c r="A2" s="2" t="s">
        <v>0</v>
      </c>
      <c r="B2" s="1" t="s">
        <v>34</v>
      </c>
      <c r="C2" s="3"/>
      <c r="D2" s="5"/>
      <c r="E2" s="5"/>
      <c r="F2" s="3"/>
      <c r="G2" s="3"/>
      <c r="H2" s="3"/>
    </row>
    <row r="3" spans="1:8" ht="15" customHeight="1" x14ac:dyDescent="0.25">
      <c r="A3" s="2" t="s">
        <v>1</v>
      </c>
      <c r="B3" s="2" t="s">
        <v>33</v>
      </c>
      <c r="C3" s="4"/>
      <c r="D3" s="5"/>
      <c r="E3" s="5"/>
      <c r="F3" s="4"/>
      <c r="G3" s="4"/>
      <c r="H3" s="4"/>
    </row>
    <row r="4" spans="1:8" ht="15" customHeight="1" x14ac:dyDescent="0.25">
      <c r="A4" s="2" t="s">
        <v>2</v>
      </c>
      <c r="B4" s="2" t="s">
        <v>32</v>
      </c>
      <c r="C4" s="4"/>
      <c r="D4" s="5"/>
      <c r="E4" s="5"/>
      <c r="F4" s="4"/>
      <c r="G4" s="4"/>
      <c r="H4" s="4"/>
    </row>
    <row r="5" spans="1:8" ht="15" customHeight="1" x14ac:dyDescent="0.25">
      <c r="A5" s="2" t="s">
        <v>3</v>
      </c>
      <c r="B5" s="30" t="s">
        <v>47</v>
      </c>
      <c r="C5" s="4"/>
      <c r="D5" s="5"/>
      <c r="E5" s="5"/>
      <c r="F5" s="4"/>
      <c r="G5" s="4"/>
      <c r="H5" s="4"/>
    </row>
    <row r="6" spans="1:8" ht="15" customHeight="1" x14ac:dyDescent="0.25">
      <c r="A6" s="4"/>
      <c r="B6" s="4"/>
      <c r="C6" s="4"/>
      <c r="D6" s="5"/>
      <c r="E6" s="5"/>
      <c r="F6" s="4"/>
      <c r="G6" s="4"/>
      <c r="H6" s="4"/>
    </row>
    <row r="7" spans="1:8" ht="15" customHeight="1" x14ac:dyDescent="0.25">
      <c r="A7" s="40" t="s">
        <v>4</v>
      </c>
      <c r="B7" s="41"/>
      <c r="C7" s="41"/>
      <c r="D7" s="41"/>
      <c r="E7" s="41"/>
      <c r="F7" s="41"/>
      <c r="G7" s="41"/>
      <c r="H7" s="42"/>
    </row>
    <row r="8" spans="1:8" ht="33.75" customHeight="1" x14ac:dyDescent="0.25">
      <c r="A8" s="6" t="s">
        <v>5</v>
      </c>
      <c r="B8" s="7" t="s">
        <v>6</v>
      </c>
      <c r="C8" s="7" t="s">
        <v>7</v>
      </c>
      <c r="D8" s="7" t="s">
        <v>8</v>
      </c>
      <c r="E8" s="7" t="s">
        <v>43</v>
      </c>
      <c r="F8" s="8" t="s">
        <v>9</v>
      </c>
      <c r="G8" s="9" t="s">
        <v>10</v>
      </c>
      <c r="H8" s="9" t="s">
        <v>11</v>
      </c>
    </row>
    <row r="9" spans="1:8" ht="15" customHeight="1" x14ac:dyDescent="0.25">
      <c r="A9" s="10"/>
      <c r="B9" t="s">
        <v>44</v>
      </c>
      <c r="C9" t="s">
        <v>45</v>
      </c>
      <c r="D9" s="31" t="s">
        <v>46</v>
      </c>
      <c r="E9" s="32">
        <v>1</v>
      </c>
      <c r="F9" s="33">
        <v>100</v>
      </c>
      <c r="G9" s="13">
        <f t="shared" ref="G9:G11" si="0">E9*F9</f>
        <v>100</v>
      </c>
      <c r="H9" s="13" t="s">
        <v>12</v>
      </c>
    </row>
    <row r="10" spans="1:8" ht="15" customHeight="1" x14ac:dyDescent="0.25">
      <c r="A10" s="10"/>
      <c r="B10" s="3" t="s">
        <v>49</v>
      </c>
      <c r="C10" s="3" t="s">
        <v>50</v>
      </c>
      <c r="D10" s="11" t="s">
        <v>51</v>
      </c>
      <c r="E10" s="12">
        <v>1</v>
      </c>
      <c r="F10" s="3">
        <v>100</v>
      </c>
      <c r="G10" s="13">
        <f t="shared" si="0"/>
        <v>100</v>
      </c>
      <c r="H10" s="13" t="s">
        <v>12</v>
      </c>
    </row>
    <row r="11" spans="1:8" ht="15" customHeight="1" x14ac:dyDescent="0.25">
      <c r="A11" s="10"/>
      <c r="B11" s="3" t="s">
        <v>35</v>
      </c>
      <c r="C11" s="3" t="s">
        <v>38</v>
      </c>
      <c r="D11" s="11" t="s">
        <v>36</v>
      </c>
      <c r="E11" s="12">
        <v>1</v>
      </c>
      <c r="F11" s="3">
        <v>0.1</v>
      </c>
      <c r="G11" s="13">
        <f t="shared" si="0"/>
        <v>0.1</v>
      </c>
      <c r="H11" s="13" t="s">
        <v>12</v>
      </c>
    </row>
    <row r="12" spans="1:8" ht="15" customHeight="1" x14ac:dyDescent="0.25">
      <c r="A12" s="10"/>
      <c r="B12" s="3"/>
      <c r="C12" s="3"/>
      <c r="D12" s="12"/>
      <c r="E12" s="12"/>
      <c r="F12" s="3"/>
      <c r="G12" s="13"/>
      <c r="H12" s="13"/>
    </row>
    <row r="13" spans="1:8" ht="15" customHeight="1" x14ac:dyDescent="0.25">
      <c r="A13" s="40" t="s">
        <v>13</v>
      </c>
      <c r="B13" s="41"/>
      <c r="C13" s="41"/>
      <c r="D13" s="41"/>
      <c r="E13" s="41"/>
      <c r="F13" s="41"/>
      <c r="G13" s="41"/>
      <c r="H13" s="42"/>
    </row>
    <row r="14" spans="1:8" ht="30.75" customHeight="1" x14ac:dyDescent="0.25">
      <c r="A14" s="14" t="s">
        <v>16</v>
      </c>
      <c r="B14" s="7" t="s">
        <v>6</v>
      </c>
      <c r="C14" s="7" t="s">
        <v>7</v>
      </c>
      <c r="D14" s="7" t="s">
        <v>8</v>
      </c>
      <c r="E14" s="7" t="s">
        <v>43</v>
      </c>
      <c r="F14" s="8" t="s">
        <v>9</v>
      </c>
      <c r="G14" s="22" t="s">
        <v>10</v>
      </c>
      <c r="H14" s="22" t="s">
        <v>11</v>
      </c>
    </row>
    <row r="15" spans="1:8" ht="15" customHeight="1" x14ac:dyDescent="0.25">
      <c r="A15" s="10"/>
      <c r="B15" t="s">
        <v>44</v>
      </c>
      <c r="C15" t="s">
        <v>45</v>
      </c>
      <c r="D15" s="31" t="s">
        <v>46</v>
      </c>
      <c r="E15" s="12">
        <v>1</v>
      </c>
      <c r="F15" s="33">
        <v>100</v>
      </c>
      <c r="G15" s="13">
        <f t="shared" ref="G15:G17" si="1">E15*F15</f>
        <v>100</v>
      </c>
      <c r="H15" s="13" t="s">
        <v>12</v>
      </c>
    </row>
    <row r="16" spans="1:8" ht="15" customHeight="1" x14ac:dyDescent="0.25">
      <c r="A16" s="10"/>
      <c r="B16" s="3" t="s">
        <v>49</v>
      </c>
      <c r="C16" s="3" t="s">
        <v>50</v>
      </c>
      <c r="D16" s="11" t="s">
        <v>51</v>
      </c>
      <c r="E16" s="12">
        <v>1</v>
      </c>
      <c r="F16" s="3">
        <v>100</v>
      </c>
      <c r="G16" s="13">
        <f t="shared" si="1"/>
        <v>100</v>
      </c>
      <c r="H16" s="13" t="s">
        <v>12</v>
      </c>
    </row>
    <row r="17" spans="1:8" ht="15" customHeight="1" x14ac:dyDescent="0.25">
      <c r="A17" s="10"/>
      <c r="B17" s="3" t="s">
        <v>35</v>
      </c>
      <c r="C17" s="3" t="s">
        <v>38</v>
      </c>
      <c r="D17" s="11" t="s">
        <v>36</v>
      </c>
      <c r="E17" s="12">
        <v>1</v>
      </c>
      <c r="F17" s="3">
        <v>0.1</v>
      </c>
      <c r="G17" s="13">
        <f t="shared" si="1"/>
        <v>0.1</v>
      </c>
      <c r="H17" s="13" t="s">
        <v>12</v>
      </c>
    </row>
    <row r="18" spans="1:8" ht="15" customHeight="1" x14ac:dyDescent="0.25">
      <c r="A18" s="10"/>
      <c r="B18" s="47" t="s">
        <v>14</v>
      </c>
      <c r="C18" s="38"/>
      <c r="D18" s="38"/>
      <c r="E18" s="38"/>
      <c r="F18" s="38"/>
      <c r="G18" s="13">
        <f>SUM(G15:G17)</f>
        <v>200.1</v>
      </c>
      <c r="H18" s="13" t="s">
        <v>12</v>
      </c>
    </row>
    <row r="19" spans="1:8" ht="15" customHeight="1" x14ac:dyDescent="0.25">
      <c r="A19" s="10"/>
      <c r="B19" s="47" t="s">
        <v>15</v>
      </c>
      <c r="C19" s="38"/>
      <c r="D19" s="38"/>
      <c r="E19" s="38"/>
      <c r="F19" s="38"/>
      <c r="G19" s="15">
        <v>0.25</v>
      </c>
      <c r="H19" s="15"/>
    </row>
    <row r="20" spans="1:8" ht="15" customHeight="1" x14ac:dyDescent="0.25">
      <c r="A20" s="16"/>
      <c r="B20" s="47" t="s">
        <v>17</v>
      </c>
      <c r="C20" s="38"/>
      <c r="D20" s="38"/>
      <c r="E20" s="38"/>
      <c r="F20" s="38"/>
      <c r="G20" s="13">
        <f>G18*(1+G19)</f>
        <v>250.125</v>
      </c>
      <c r="H20" s="13" t="s">
        <v>12</v>
      </c>
    </row>
    <row r="21" spans="1:8" ht="15" customHeight="1" x14ac:dyDescent="0.25">
      <c r="A21" s="17"/>
      <c r="B21" s="18"/>
      <c r="C21" s="18"/>
      <c r="D21" s="12"/>
      <c r="E21" s="12"/>
      <c r="F21" s="19"/>
      <c r="G21" s="20"/>
      <c r="H21" s="13"/>
    </row>
    <row r="22" spans="1:8" ht="15" customHeight="1" x14ac:dyDescent="0.25">
      <c r="A22" s="17" t="s">
        <v>18</v>
      </c>
      <c r="B22" s="18" t="s">
        <v>19</v>
      </c>
      <c r="C22" s="3" t="s">
        <v>48</v>
      </c>
      <c r="D22" s="11" t="s">
        <v>37</v>
      </c>
      <c r="E22" s="12">
        <v>1</v>
      </c>
      <c r="F22" s="19">
        <v>1500</v>
      </c>
      <c r="G22" s="20">
        <f>E22*F22</f>
        <v>1500</v>
      </c>
      <c r="H22" s="13" t="s">
        <v>12</v>
      </c>
    </row>
    <row r="23" spans="1:8" ht="15" customHeight="1" x14ac:dyDescent="0.25">
      <c r="A23" s="21"/>
      <c r="B23" s="48" t="s">
        <v>20</v>
      </c>
      <c r="C23" s="35"/>
      <c r="D23" s="35"/>
      <c r="E23" s="35"/>
      <c r="F23" s="35"/>
      <c r="G23" s="20">
        <f>G22-G20</f>
        <v>1249.875</v>
      </c>
      <c r="H23" s="13" t="s">
        <v>12</v>
      </c>
    </row>
    <row r="24" spans="1:8" ht="15" customHeight="1" x14ac:dyDescent="0.25">
      <c r="A24" s="40" t="s">
        <v>21</v>
      </c>
      <c r="B24" s="41"/>
      <c r="C24" s="41"/>
      <c r="D24" s="41"/>
      <c r="E24" s="41"/>
      <c r="F24" s="41"/>
      <c r="G24" s="41"/>
      <c r="H24" s="42"/>
    </row>
    <row r="25" spans="1:8" ht="15" customHeight="1" x14ac:dyDescent="0.25">
      <c r="A25" s="34"/>
      <c r="B25" s="35"/>
      <c r="C25" s="35"/>
      <c r="D25" s="35"/>
      <c r="E25" s="35"/>
      <c r="F25" s="35"/>
      <c r="G25" s="35"/>
      <c r="H25" s="36"/>
    </row>
    <row r="26" spans="1:8" ht="15" customHeight="1" x14ac:dyDescent="0.25">
      <c r="A26" s="40" t="s">
        <v>22</v>
      </c>
      <c r="B26" s="41"/>
      <c r="C26" s="41"/>
      <c r="D26" s="41"/>
      <c r="E26" s="41"/>
      <c r="F26" s="41"/>
      <c r="G26" s="41"/>
      <c r="H26" s="42"/>
    </row>
    <row r="27" spans="1:8" ht="30" customHeight="1" x14ac:dyDescent="0.25">
      <c r="A27" s="14" t="s">
        <v>23</v>
      </c>
      <c r="B27" s="7" t="s">
        <v>6</v>
      </c>
      <c r="C27" s="7" t="s">
        <v>7</v>
      </c>
      <c r="D27" s="7" t="s">
        <v>8</v>
      </c>
      <c r="E27" s="23" t="s">
        <v>24</v>
      </c>
      <c r="F27" s="8" t="s">
        <v>9</v>
      </c>
      <c r="G27" s="51" t="s">
        <v>10</v>
      </c>
      <c r="H27" s="22" t="s">
        <v>11</v>
      </c>
    </row>
    <row r="28" spans="1:8" ht="15" customHeight="1" x14ac:dyDescent="0.25">
      <c r="A28" s="24" t="s">
        <v>25</v>
      </c>
      <c r="B28" s="18" t="s">
        <v>26</v>
      </c>
      <c r="C28" s="12" t="s">
        <v>41</v>
      </c>
      <c r="D28" s="12" t="s">
        <v>40</v>
      </c>
      <c r="E28" s="11" t="s">
        <v>42</v>
      </c>
      <c r="F28" s="19">
        <v>3000</v>
      </c>
      <c r="G28" s="52">
        <v>3000</v>
      </c>
      <c r="H28" s="25" t="s">
        <v>12</v>
      </c>
    </row>
    <row r="29" spans="1:8" ht="15" customHeight="1" x14ac:dyDescent="0.25">
      <c r="A29" s="26"/>
      <c r="B29" s="18"/>
      <c r="C29" s="18"/>
      <c r="D29" s="12"/>
      <c r="E29" s="12"/>
      <c r="F29" s="19"/>
      <c r="G29" s="53"/>
      <c r="H29" s="27"/>
    </row>
    <row r="30" spans="1:8" ht="15" customHeight="1" x14ac:dyDescent="0.25">
      <c r="A30" s="43" t="s">
        <v>27</v>
      </c>
      <c r="B30" s="18"/>
      <c r="C30" s="18"/>
      <c r="D30" s="3"/>
      <c r="E30" s="3"/>
      <c r="F30" s="3"/>
      <c r="G30" s="54"/>
      <c r="H30" s="27"/>
    </row>
    <row r="31" spans="1:8" ht="15" customHeight="1" x14ac:dyDescent="0.25">
      <c r="A31" s="44"/>
      <c r="B31" s="18" t="s">
        <v>19</v>
      </c>
      <c r="C31" s="3" t="s">
        <v>48</v>
      </c>
      <c r="D31" s="11" t="s">
        <v>37</v>
      </c>
      <c r="E31" s="12">
        <v>1</v>
      </c>
      <c r="F31" s="19">
        <v>1500</v>
      </c>
      <c r="G31" s="53">
        <f t="shared" ref="G31" si="2">E31*F31</f>
        <v>1500</v>
      </c>
      <c r="H31" s="27" t="s">
        <v>12</v>
      </c>
    </row>
    <row r="32" spans="1:8" ht="15" customHeight="1" x14ac:dyDescent="0.25">
      <c r="A32" s="44"/>
      <c r="B32" s="3"/>
      <c r="C32" s="18"/>
      <c r="D32" s="3"/>
      <c r="E32" s="3"/>
      <c r="F32" s="3"/>
      <c r="G32" s="54"/>
      <c r="H32" s="27"/>
    </row>
    <row r="33" spans="1:8" ht="15" customHeight="1" x14ac:dyDescent="0.25">
      <c r="A33" s="26"/>
      <c r="B33" s="45" t="s">
        <v>28</v>
      </c>
      <c r="C33" s="38"/>
      <c r="D33" s="38"/>
      <c r="E33" s="38"/>
      <c r="F33" s="38"/>
      <c r="G33" s="53">
        <f>G28-SUM(G30:G32)</f>
        <v>1500</v>
      </c>
      <c r="H33" s="25" t="s">
        <v>12</v>
      </c>
    </row>
    <row r="34" spans="1:8" ht="15" customHeight="1" x14ac:dyDescent="0.25">
      <c r="A34" s="26"/>
      <c r="B34" s="5"/>
      <c r="C34" s="5"/>
      <c r="D34" s="5"/>
      <c r="E34" s="5"/>
      <c r="F34" s="5"/>
      <c r="G34" s="55"/>
      <c r="H34" s="28"/>
    </row>
    <row r="35" spans="1:8" ht="15" customHeight="1" x14ac:dyDescent="0.25">
      <c r="A35" s="46" t="s">
        <v>29</v>
      </c>
      <c r="B35" s="38"/>
      <c r="C35" s="38"/>
      <c r="D35" s="38"/>
      <c r="E35" s="38"/>
      <c r="F35" s="38"/>
      <c r="G35" s="29"/>
      <c r="H35" s="29"/>
    </row>
    <row r="36" spans="1:8" ht="15" customHeight="1" x14ac:dyDescent="0.25">
      <c r="A36" s="37" t="s">
        <v>30</v>
      </c>
      <c r="B36" s="38"/>
      <c r="C36" s="38"/>
      <c r="D36" s="38"/>
      <c r="E36" s="38"/>
      <c r="F36" s="38"/>
      <c r="G36" s="38"/>
      <c r="H36" s="38"/>
    </row>
    <row r="37" spans="1:8" ht="15" customHeight="1" x14ac:dyDescent="0.25">
      <c r="A37" s="39" t="s">
        <v>31</v>
      </c>
      <c r="B37" s="38"/>
      <c r="C37" s="38"/>
      <c r="D37" s="38"/>
      <c r="E37" s="38"/>
      <c r="F37" s="38"/>
      <c r="G37" s="38"/>
      <c r="H37" s="38"/>
    </row>
    <row r="38" spans="1:8" ht="15.75" customHeight="1" x14ac:dyDescent="0.25">
      <c r="A38" s="3"/>
      <c r="B38" s="3"/>
      <c r="C38" s="3"/>
      <c r="D38" s="3"/>
      <c r="E38" s="3"/>
      <c r="F38" s="3"/>
      <c r="G38" s="3"/>
      <c r="H38" s="3"/>
    </row>
    <row r="39" spans="1:8" ht="15.75" customHeight="1" x14ac:dyDescent="0.25">
      <c r="A39" s="3"/>
      <c r="B39" s="3"/>
      <c r="C39" s="3"/>
      <c r="D39" s="3"/>
      <c r="E39" s="3"/>
      <c r="F39" s="3"/>
      <c r="G39" s="3"/>
      <c r="H39" s="3"/>
    </row>
  </sheetData>
  <mergeCells count="15">
    <mergeCell ref="A1:H1"/>
    <mergeCell ref="A7:H7"/>
    <mergeCell ref="A13:H13"/>
    <mergeCell ref="B18:F18"/>
    <mergeCell ref="B19:F19"/>
    <mergeCell ref="B20:F20"/>
    <mergeCell ref="B23:F23"/>
    <mergeCell ref="A24:H24"/>
    <mergeCell ref="A25:H25"/>
    <mergeCell ref="A36:H36"/>
    <mergeCell ref="A37:H37"/>
    <mergeCell ref="A26:H26"/>
    <mergeCell ref="A30:A32"/>
    <mergeCell ref="B33:F33"/>
    <mergeCell ref="A35:F35"/>
  </mergeCells>
  <conditionalFormatting sqref="G23">
    <cfRule type="cellIs" dxfId="0" priority="1" operator="lessThan">
      <formula>0</formula>
    </cfRule>
  </conditionalFormatting>
  <pageMargins left="0.7" right="0.7" top="0.75" bottom="0.75" header="0.3" footer="0.3"/>
  <pageSetup scale="63" fitToHeight="0" orientation="landscape"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Bryce Weber</dc:creator>
  <cp:lastModifiedBy>Bryce Weber</cp:lastModifiedBy>
  <cp:lastPrinted>2025-10-31T01:03:34Z</cp:lastPrinted>
  <dcterms:created xsi:type="dcterms:W3CDTF">2025-10-31T01:03:56Z</dcterms:created>
  <dcterms:modified xsi:type="dcterms:W3CDTF">2025-12-08T07:54:11Z</dcterms:modified>
</cp:coreProperties>
</file>